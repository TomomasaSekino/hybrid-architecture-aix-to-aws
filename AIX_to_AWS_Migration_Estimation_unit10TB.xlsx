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1" sheetId="2" state="visible" r:id="rId2"/>
    <sheet xmlns:r="http://schemas.openxmlformats.org/officeDocument/2006/relationships" name="Phase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3" customWidth="1" min="4" max="4"/>
    <col width="20" customWidth="1" min="5" max="5"/>
    <col width="20" customWidth="1" min="6" max="6"/>
  </cols>
  <sheetData>
    <row r="1">
      <c r="A1" s="1" t="inlineStr">
        <is>
          <t>AIX → AWS Migration Estimation (Summary)</t>
        </is>
      </c>
    </row>
    <row r="3">
      <c r="A3" s="2" t="inlineStr">
        <is>
          <t>Input Parameters</t>
        </is>
      </c>
    </row>
    <row r="4">
      <c r="A4" s="3" t="inlineStr">
        <is>
          <t>Key</t>
        </is>
      </c>
      <c r="B4" s="3" t="inlineStr">
        <is>
          <t>Description</t>
        </is>
      </c>
      <c r="C4" s="3" t="inlineStr">
        <is>
          <t>Value</t>
        </is>
      </c>
    </row>
    <row r="5">
      <c r="A5" s="4" t="inlineStr">
        <is>
          <t>N_LPAR</t>
        </is>
      </c>
      <c r="B5" s="4" t="inlineStr">
        <is>
          <t>対象LPAR数（App/DB含む）</t>
        </is>
      </c>
      <c r="C5" s="5" t="n"/>
    </row>
    <row r="6">
      <c r="A6" s="4" t="inlineStr">
        <is>
          <t>N_APP</t>
        </is>
      </c>
      <c r="B6" s="4" t="inlineStr">
        <is>
          <t>対象アプリ数（大分類）</t>
        </is>
      </c>
      <c r="C6" s="5" t="n"/>
    </row>
    <row r="7">
      <c r="A7" s="4" t="inlineStr">
        <is>
          <t>N_MW</t>
        </is>
      </c>
      <c r="B7" s="4" t="inlineStr">
        <is>
          <t>主要ミドル数（例: WebSphere/DB2/Oracle）</t>
        </is>
      </c>
      <c r="C7" s="5" t="n"/>
    </row>
    <row r="8">
      <c r="A8" s="4" t="inlineStr">
        <is>
          <t>DB_TB</t>
        </is>
      </c>
      <c r="B8" s="4" t="inlineStr">
        <is>
          <t>データ容量（TB）</t>
        </is>
      </c>
      <c r="C8" s="5" t="n"/>
    </row>
    <row r="9">
      <c r="A9" s="4" t="inlineStr">
        <is>
          <t>HA</t>
        </is>
      </c>
      <c r="B9" s="4" t="inlineStr">
        <is>
          <t>PowerHA相当の可用性要件（0/1）</t>
        </is>
      </c>
      <c r="C9" s="5" t="n"/>
    </row>
    <row r="10">
      <c r="A10" s="4" t="inlineStr">
        <is>
          <t>IF</t>
        </is>
      </c>
      <c r="B10" s="4" t="inlineStr">
        <is>
          <t>外部I/F本数</t>
        </is>
      </c>
      <c r="C10" s="5" t="n"/>
    </row>
    <row r="11">
      <c r="A11" s="4" t="inlineStr">
        <is>
          <t>SEC</t>
        </is>
      </c>
      <c r="B11" s="4" t="inlineStr">
        <is>
          <t>統制・監査強度（1=標準,2=厳格）</t>
        </is>
      </c>
      <c r="C11" s="5" t="n">
        <v>1</v>
      </c>
    </row>
    <row r="12">
      <c r="A12" s="4" t="inlineStr">
        <is>
          <t>PERF</t>
        </is>
      </c>
      <c r="B12" s="4" t="inlineStr">
        <is>
          <t>性能要件（1=標準,2=高性能）</t>
        </is>
      </c>
      <c r="C12" s="5" t="n">
        <v>1</v>
      </c>
    </row>
    <row r="13">
      <c r="A13" s="4" t="inlineStr">
        <is>
          <t>TEAM</t>
        </is>
      </c>
      <c r="B13" s="4" t="inlineStr">
        <is>
          <t>想定チーム人数</t>
        </is>
      </c>
      <c r="C13" s="5" t="n">
        <v>2</v>
      </c>
    </row>
    <row r="14">
      <c r="A14" s="4" t="inlineStr">
        <is>
          <t>UNIT</t>
        </is>
      </c>
      <c r="B14" s="4" t="inlineStr">
        <is>
          <t>単価（円/人日）</t>
        </is>
      </c>
      <c r="C14" s="5" t="n">
        <v>80000</v>
      </c>
    </row>
    <row r="15">
      <c r="A15" s="4" t="inlineStr">
        <is>
          <t>RISK</t>
        </is>
      </c>
      <c r="B15" s="4" t="inlineStr">
        <is>
          <t>リスク係数（0.8/1.0/1.2/1.5）</t>
        </is>
      </c>
      <c r="C15" s="5" t="n">
        <v>1</v>
      </c>
    </row>
    <row r="16">
      <c r="A16" s="4" t="inlineStr">
        <is>
          <t>BW_Gbps</t>
        </is>
      </c>
      <c r="B16" s="4" t="inlineStr">
        <is>
          <t>データ転送帯域（Gbps・参考）</t>
        </is>
      </c>
      <c r="C16" s="5" t="n">
        <v>1</v>
      </c>
    </row>
    <row r="18">
      <c r="A18" s="2" t="inlineStr">
        <is>
          <t>Results</t>
        </is>
      </c>
    </row>
    <row r="19">
      <c r="A19" s="3" t="inlineStr">
        <is>
          <t>Metric</t>
        </is>
      </c>
      <c r="B19" s="3" t="inlineStr">
        <is>
          <t>Value</t>
        </is>
      </c>
      <c r="C19" s="3" t="inlineStr">
        <is>
          <t>Note</t>
        </is>
      </c>
      <c r="E19" s="3" t="inlineStr">
        <is>
          <t>Visual</t>
        </is>
      </c>
      <c r="F19" s="3" t="inlineStr">
        <is>
          <t>Share</t>
        </is>
      </c>
    </row>
    <row r="20">
      <c r="A20" s="6" t="inlineStr">
        <is>
          <t>Phase 1 工数（人日）</t>
        </is>
      </c>
      <c r="B20" s="7">
        <f>Phase1!B22</f>
        <v/>
      </c>
      <c r="C20" s="7" t="inlineStr">
        <is>
          <t>MD_P1</t>
        </is>
      </c>
      <c r="E20" s="7">
        <f>B20</f>
        <v/>
      </c>
      <c r="F20" s="8">
        <f>IF(B22&gt;0,B20/B22,"")</f>
        <v/>
      </c>
    </row>
    <row r="21">
      <c r="A21" s="6" t="inlineStr">
        <is>
          <t>Phase 2 工数（人日）</t>
        </is>
      </c>
      <c r="B21" s="7">
        <f>Phase2!B28</f>
        <v/>
      </c>
      <c r="C21" s="7" t="inlineStr">
        <is>
          <t>MD_P2</t>
        </is>
      </c>
      <c r="E21" s="7">
        <f>B21</f>
        <v/>
      </c>
      <c r="F21" s="8">
        <f>IF(B22&gt;0,B21/B22,"")</f>
        <v/>
      </c>
    </row>
    <row r="22">
      <c r="A22" s="6" t="inlineStr">
        <is>
          <t>合計工数（人日）</t>
        </is>
      </c>
      <c r="B22" s="7">
        <f>B20+B21</f>
        <v/>
      </c>
      <c r="C22" s="7" t="inlineStr">
        <is>
          <t>MD_TOTAL</t>
        </is>
      </c>
    </row>
    <row r="23">
      <c r="A23" s="6" t="inlineStr">
        <is>
          <t>想定期間（月）</t>
        </is>
      </c>
      <c r="B23" s="7">
        <f>IF(C13&gt;0, B22/(C13*20), "")</f>
        <v/>
      </c>
      <c r="C23" s="7" t="inlineStr">
        <is>
          <t>Duration</t>
        </is>
      </c>
    </row>
    <row r="24">
      <c r="A24" s="6" t="inlineStr">
        <is>
          <t>概算金額（円）</t>
        </is>
      </c>
      <c r="B24" s="7">
        <f>IF(C14&gt;0, B22*C14, "")</f>
        <v/>
      </c>
      <c r="C24" s="7" t="inlineStr">
        <is>
          <t>Cost</t>
        </is>
      </c>
    </row>
    <row r="25">
      <c r="A25" s="6" t="inlineStr">
        <is>
          <t>規模感</t>
        </is>
      </c>
      <c r="B25" s="7">
        <f>IF(B22&lt;80,"小規模",IF(B22&lt;180,"中規模","大規模"))</f>
        <v/>
      </c>
      <c r="C25" s="7" t="inlineStr">
        <is>
          <t>Size</t>
        </is>
      </c>
    </row>
    <row r="26">
      <c r="A26" s="6" t="inlineStr">
        <is>
          <t>参考：データ転送日数（概算）</t>
        </is>
      </c>
      <c r="B26" s="9">
        <f>IF(C16&gt;0, (C8*8E12)/(C16*1E9*0.7)/86400, "")</f>
        <v/>
      </c>
      <c r="C26" s="7" t="inlineStr">
        <is>
          <t>TransferDays</t>
        </is>
      </c>
    </row>
  </sheetData>
  <mergeCells count="3">
    <mergeCell ref="A3:F3"/>
    <mergeCell ref="A1:F1"/>
    <mergeCell ref="A18:F18"/>
  </mergeCells>
  <conditionalFormatting sqref="E20:E21">
    <cfRule type="dataBar" priority="1">
      <dataBar showValue="1">
        <cfvo type="num" val="0"/>
        <cfvo type="max" val="0"/>
        <color rgb="004F81BD"/>
      </dataBar>
    </cfRule>
  </conditionalFormatting>
  <conditionalFormatting sqref="F20:F21">
    <cfRule type="dataBar" priority="2">
      <dataBar showValue="1">
        <cfvo type="num" val="0"/>
        <cfvo type="num" val="1"/>
        <color rgb="009BBB59"/>
      </dataBar>
    </cfRule>
  </conditionalFormatting>
  <dataValidations count="4">
    <dataValidation sqref="C9" showDropDown="0" showInputMessage="0" showErrorMessage="0" allowBlank="1" type="list">
      <formula1>"0,1"</formula1>
    </dataValidation>
    <dataValidation sqref="C11" showDropDown="0" showInputMessage="0" showErrorMessage="0" allowBlank="1" type="list">
      <formula1>"1,2"</formula1>
    </dataValidation>
    <dataValidation sqref="C12" showDropDown="0" showInputMessage="0" showErrorMessage="0" allowBlank="1" type="list">
      <formula1>"1,2"</formula1>
    </dataValidation>
    <dataValidation sqref="C15" showDropDown="0" showInputMessage="0" showErrorMessage="0" allowBlank="1" type="list">
      <formula1>"0.8,1.0,1.2,1.5"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" customWidth="1" min="3" max="3"/>
    <col width="18" customWidth="1" min="4" max="4"/>
    <col width="18" customWidth="1" min="5" max="5"/>
  </cols>
  <sheetData>
    <row r="1">
      <c r="A1" s="1" t="inlineStr">
        <is>
          <t>Phase 1 – ハイブリッド化（内訳）</t>
        </is>
      </c>
    </row>
    <row r="3">
      <c r="A3" s="2" t="inlineStr">
        <is>
          <t>Inputs (linked from Summary)</t>
        </is>
      </c>
    </row>
    <row r="4">
      <c r="A4" s="3" t="inlineStr">
        <is>
          <t>Key</t>
        </is>
      </c>
      <c r="B4" s="3" t="inlineStr">
        <is>
          <t>Value</t>
        </is>
      </c>
    </row>
    <row r="5">
      <c r="A5" s="7" t="inlineStr">
        <is>
          <t>N_LPAR</t>
        </is>
      </c>
      <c r="B5" s="7">
        <f>'Summary'!C5</f>
        <v/>
      </c>
    </row>
    <row r="6">
      <c r="A6" s="7" t="inlineStr">
        <is>
          <t>N_MW</t>
        </is>
      </c>
      <c r="B6" s="7">
        <f>'Summary'!C7</f>
        <v/>
      </c>
    </row>
    <row r="7">
      <c r="A7" s="7" t="inlineStr">
        <is>
          <t>DB_TB</t>
        </is>
      </c>
      <c r="B7" s="7">
        <f>'Summary'!C8</f>
        <v/>
      </c>
    </row>
    <row r="8">
      <c r="A8" s="7" t="inlineStr">
        <is>
          <t>IF</t>
        </is>
      </c>
      <c r="B8" s="7">
        <f>'Summary'!C10</f>
        <v/>
      </c>
    </row>
    <row r="9">
      <c r="A9" s="7" t="inlineStr">
        <is>
          <t>SEC</t>
        </is>
      </c>
      <c r="B9" s="7">
        <f>'Summary'!C11</f>
        <v/>
      </c>
    </row>
    <row r="10">
      <c r="A10" s="7" t="inlineStr">
        <is>
          <t>RISK</t>
        </is>
      </c>
      <c r="B10" s="7">
        <f>'Summary'!C15</f>
        <v/>
      </c>
    </row>
    <row r="12">
      <c r="A12" s="2" t="inlineStr">
        <is>
          <t>Breakdown (Man-Days)  ※データ容量は10TBを1ユニットとして計上</t>
        </is>
      </c>
    </row>
    <row r="13">
      <c r="A13" s="3" t="inlineStr">
        <is>
          <t>Component</t>
        </is>
      </c>
      <c r="B13" s="3" t="inlineStr">
        <is>
          <t>Man-Days</t>
        </is>
      </c>
      <c r="D13" s="3" t="inlineStr">
        <is>
          <t>Visual</t>
        </is>
      </c>
    </row>
    <row r="14">
      <c r="A14" s="4" t="inlineStr">
        <is>
          <t>Base (B_P1)</t>
        </is>
      </c>
      <c r="B14" s="7">
        <f>25</f>
        <v/>
      </c>
      <c r="D14" s="7">
        <f>B14</f>
        <v/>
      </c>
    </row>
    <row r="15">
      <c r="A15" s="4" t="inlineStr">
        <is>
          <t>LPAR Add (a1*max(0,N_LPAR-2))</t>
        </is>
      </c>
      <c r="B15" s="7">
        <f>4*MAX(0,'Summary'!C5-2)</f>
        <v/>
      </c>
      <c r="D15" s="7">
        <f>B15</f>
        <v/>
      </c>
    </row>
    <row r="16">
      <c r="A16" s="4" t="inlineStr">
        <is>
          <t>Middleware (a2*N_MW)</t>
        </is>
      </c>
      <c r="B16" s="7">
        <f>2*'Summary'!C7</f>
        <v/>
      </c>
      <c r="D16" s="7">
        <f>B16</f>
        <v/>
      </c>
    </row>
    <row r="17">
      <c r="A17" s="4" t="inlineStr">
        <is>
          <t>Data (a3*ceil(DB_TB/10))</t>
        </is>
      </c>
      <c r="B17" s="7">
        <f>3*ROUNDUP('Summary'!C8/10,0)</f>
        <v/>
      </c>
      <c r="D17" s="7">
        <f>B17</f>
        <v/>
      </c>
    </row>
    <row r="18">
      <c r="A18" s="4" t="inlineStr">
        <is>
          <t>Interfaces (a4*IF)</t>
        </is>
      </c>
      <c r="B18" s="7">
        <f>0.5*'Summary'!C10</f>
        <v/>
      </c>
      <c r="D18" s="7">
        <f>B18</f>
        <v/>
      </c>
    </row>
    <row r="19">
      <c r="A19" s="4" t="inlineStr">
        <is>
          <t>Governance (a5*(SEC-1))</t>
        </is>
      </c>
      <c r="B19" s="7">
        <f>5*('Summary'!C11-1)</f>
        <v/>
      </c>
      <c r="D19" s="7">
        <f>B19</f>
        <v/>
      </c>
    </row>
    <row r="20">
      <c r="A20" s="4" t="inlineStr">
        <is>
          <t>Risk Factor</t>
        </is>
      </c>
      <c r="B20" s="7">
        <f>'Summary'!C15</f>
        <v/>
      </c>
    </row>
    <row r="21">
      <c r="A21" t="inlineStr"/>
    </row>
    <row r="22">
      <c r="A22" s="6" t="inlineStr">
        <is>
          <t>Total (MD_P1)</t>
        </is>
      </c>
      <c r="B22" s="10">
        <f>(SUM(B14:B19))*B20</f>
        <v/>
      </c>
    </row>
  </sheetData>
  <mergeCells count="3">
    <mergeCell ref="A1:E1"/>
    <mergeCell ref="A12:E12"/>
    <mergeCell ref="A3:E3"/>
  </mergeCells>
  <conditionalFormatting sqref="D14:D19">
    <cfRule type="dataBar" priority="1">
      <dataBar showValue="1">
        <cfvo type="num" val="0"/>
        <cfvo type="max" val="0"/>
        <color rgb="004F81BD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" customWidth="1" min="3" max="3"/>
    <col width="18" customWidth="1" min="4" max="4"/>
    <col width="18" customWidth="1" min="5" max="5"/>
  </cols>
  <sheetData>
    <row r="1">
      <c r="A1" s="1" t="inlineStr">
        <is>
          <t>Phase 2 – クラウドシフト（内訳）</t>
        </is>
      </c>
    </row>
    <row r="3">
      <c r="A3" s="2" t="inlineStr">
        <is>
          <t>Inputs (linked from Summary)</t>
        </is>
      </c>
    </row>
    <row r="4">
      <c r="A4" s="3" t="inlineStr">
        <is>
          <t>Key</t>
        </is>
      </c>
      <c r="B4" s="3" t="inlineStr">
        <is>
          <t>Value</t>
        </is>
      </c>
    </row>
    <row r="5">
      <c r="A5" s="7" t="inlineStr">
        <is>
          <t>N_LPAR</t>
        </is>
      </c>
      <c r="B5" s="7">
        <f>'Summary'!C5</f>
        <v/>
      </c>
    </row>
    <row r="6">
      <c r="A6" s="7" t="inlineStr">
        <is>
          <t>N_APP</t>
        </is>
      </c>
      <c r="B6" s="7">
        <f>'Summary'!C6</f>
        <v/>
      </c>
    </row>
    <row r="7">
      <c r="A7" s="7" t="inlineStr">
        <is>
          <t>N_MW</t>
        </is>
      </c>
      <c r="B7" s="7">
        <f>'Summary'!C7</f>
        <v/>
      </c>
    </row>
    <row r="8">
      <c r="A8" s="7" t="inlineStr">
        <is>
          <t>DB_TB</t>
        </is>
      </c>
      <c r="B8" s="7">
        <f>'Summary'!C8</f>
        <v/>
      </c>
    </row>
    <row r="9">
      <c r="A9" s="7" t="inlineStr">
        <is>
          <t>HA</t>
        </is>
      </c>
      <c r="B9" s="7">
        <f>'Summary'!C9</f>
        <v/>
      </c>
    </row>
    <row r="10">
      <c r="A10" s="7" t="inlineStr">
        <is>
          <t>IF</t>
        </is>
      </c>
      <c r="B10" s="7">
        <f>'Summary'!C10</f>
        <v/>
      </c>
    </row>
    <row r="11">
      <c r="A11" s="7" t="inlineStr">
        <is>
          <t>SEC</t>
        </is>
      </c>
      <c r="B11" s="7">
        <f>'Summary'!C11</f>
        <v/>
      </c>
    </row>
    <row r="12">
      <c r="A12" s="7" t="inlineStr">
        <is>
          <t>PERF</t>
        </is>
      </c>
      <c r="B12" s="7">
        <f>'Summary'!C12</f>
        <v/>
      </c>
    </row>
    <row r="13">
      <c r="A13" s="7" t="inlineStr">
        <is>
          <t>RISK</t>
        </is>
      </c>
      <c r="B13" s="7">
        <f>'Summary'!C15</f>
        <v/>
      </c>
    </row>
    <row r="15">
      <c r="A15" s="2" t="inlineStr">
        <is>
          <t>Breakdown (Man-Days)  ※データ容量は10TBを1ユニットとして計上</t>
        </is>
      </c>
    </row>
    <row r="16">
      <c r="A16" s="3" t="inlineStr">
        <is>
          <t>Component</t>
        </is>
      </c>
      <c r="B16" s="3" t="inlineStr">
        <is>
          <t>Man-Days</t>
        </is>
      </c>
      <c r="D16" s="3" t="inlineStr">
        <is>
          <t>Visual</t>
        </is>
      </c>
    </row>
    <row r="17">
      <c r="A17" s="4" t="inlineStr">
        <is>
          <t>Base (B_P2)</t>
        </is>
      </c>
      <c r="B17" s="7">
        <f>60</f>
        <v/>
      </c>
      <c r="D17" s="7">
        <f>B17</f>
        <v/>
      </c>
    </row>
    <row r="18">
      <c r="A18" s="4" t="inlineStr">
        <is>
          <t>Applications (b1*N_APP)</t>
        </is>
      </c>
      <c r="B18" s="7">
        <f>15*'Summary'!C6</f>
        <v/>
      </c>
      <c r="D18" s="7">
        <f>B18</f>
        <v/>
      </c>
    </row>
    <row r="19">
      <c r="A19" s="4" t="inlineStr">
        <is>
          <t>Middleware (b2*N_MW)</t>
        </is>
      </c>
      <c r="B19" s="7">
        <f>8*'Summary'!C7</f>
        <v/>
      </c>
      <c r="D19" s="7">
        <f>B19</f>
        <v/>
      </c>
    </row>
    <row r="20">
      <c r="A20" s="4" t="inlineStr">
        <is>
          <t>Data (b3*ceil(DB_TB/10))</t>
        </is>
      </c>
      <c r="B20" s="7">
        <f>6*ROUNDUP('Summary'!C8/10,0)</f>
        <v/>
      </c>
      <c r="D20" s="7">
        <f>B20</f>
        <v/>
      </c>
    </row>
    <row r="21">
      <c r="A21" s="4" t="inlineStr">
        <is>
          <t>Interfaces (b4*IF)</t>
        </is>
      </c>
      <c r="B21" s="7">
        <f>1.0*'Summary'!C10</f>
        <v/>
      </c>
      <c r="D21" s="7">
        <f>B21</f>
        <v/>
      </c>
    </row>
    <row r="22">
      <c r="A22" s="4" t="inlineStr">
        <is>
          <t>HA (b5*HA)</t>
        </is>
      </c>
      <c r="B22" s="7">
        <f>20*'Summary'!C9</f>
        <v/>
      </c>
      <c r="D22" s="7">
        <f>B22</f>
        <v/>
      </c>
    </row>
    <row r="23">
      <c r="A23" s="4" t="inlineStr">
        <is>
          <t>Governance (b6*(SEC-1))</t>
        </is>
      </c>
      <c r="B23" s="7">
        <f>10*('Summary'!C11-1)</f>
        <v/>
      </c>
      <c r="D23" s="7">
        <f>B23</f>
        <v/>
      </c>
    </row>
    <row r="24">
      <c r="A24" s="4" t="inlineStr">
        <is>
          <t>Performance (b7*(PERF-1))</t>
        </is>
      </c>
      <c r="B24" s="7">
        <f>15*('Summary'!C12-1)</f>
        <v/>
      </c>
      <c r="D24" s="7">
        <f>B24</f>
        <v/>
      </c>
    </row>
    <row r="25">
      <c r="A25" s="4" t="inlineStr">
        <is>
          <t>LPAR Add (b8*max(0,N_LPAR-2))</t>
        </is>
      </c>
      <c r="B25" s="7">
        <f>5*MAX(0,'Summary'!C5-2)</f>
        <v/>
      </c>
      <c r="D25" s="7">
        <f>B25</f>
        <v/>
      </c>
    </row>
    <row r="26">
      <c r="A26" s="4" t="inlineStr">
        <is>
          <t>Risk Factor</t>
        </is>
      </c>
      <c r="B26" s="7">
        <f>'Summary'!C15</f>
        <v/>
      </c>
    </row>
    <row r="27">
      <c r="A27" t="inlineStr"/>
    </row>
    <row r="28">
      <c r="A28" s="6" t="inlineStr">
        <is>
          <t>Total (MD_P2)</t>
        </is>
      </c>
      <c r="B28" s="10">
        <f>(SUM(B17:B25))*B26</f>
        <v/>
      </c>
    </row>
  </sheetData>
  <mergeCells count="3">
    <mergeCell ref="A15:E15"/>
    <mergeCell ref="A1:E1"/>
    <mergeCell ref="A3:E3"/>
  </mergeCells>
  <conditionalFormatting sqref="D17:D25">
    <cfRule type="dataBar" priority="1">
      <dataBar showValue="1">
        <cfvo type="num" val="0"/>
        <cfvo type="max" val="0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2026-02-22T10:14:12Z</dcterms:created>
  <dcterms:modified xmlns:dcterms="http://purl.org/dc/terms/" xmlns:xsi="http://www.w3.org/2001/XMLSchema-instance" xsi:type="dcterms:W3CDTF">2026-02-22T10:14:12Z</dcterms:modified>
</cp:coreProperties>
</file>